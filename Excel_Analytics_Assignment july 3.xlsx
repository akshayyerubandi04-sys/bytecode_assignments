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6a0bc0d58f70340/Documents/"/>
    </mc:Choice>
  </mc:AlternateContent>
  <xr:revisionPtr revIDLastSave="1" documentId="14_{129C3D7F-9108-4BB7-9FB5-55746265B372}" xr6:coauthVersionLast="47" xr6:coauthVersionMax="47" xr10:uidLastSave="{02039551-5371-44E9-9EB8-3F16E481B68C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Sales_Data" sheetId="2" r:id="rId2"/>
    <sheet name="Assignment_Questions" sheetId="3" r:id="rId3"/>
    <sheet name="Conditional_Formatting_Tasks" sheetId="4" r:id="rId4"/>
    <sheet name="Answer_Key (Trainer Only)" sheetId="5" state="hidden" r:id="rId5"/>
  </sheets>
  <definedNames>
    <definedName name="_xlnm._FilterDatabase" localSheetId="1" hidden="1">Sales_Data!$A$1:$M$101</definedName>
    <definedName name="Category">Sales_Data!$D$1:$D$101</definedName>
    <definedName name="CustomerType">Sales_Data!$L$1:$L$101</definedName>
    <definedName name="Discount">Sales_Data!$I$1:$I$101</definedName>
    <definedName name="Profit">Sales_Data!$K$1:$K$101</definedName>
    <definedName name="Rating">Sales_Data!$M$1:$M$101</definedName>
    <definedName name="Region">Sales_Data!$C$1:$C$101</definedName>
    <definedName name="Sales">Sales_Data!$J$1:$J$101</definedName>
    <definedName name="SalesRep">Sales_Data!$F$1:$F$101</definedName>
    <definedName name="UnitPrice">Sales_Data!$H$1:$H$101</definedName>
    <definedName name="Units">Sales_Data!$G$1:$G$101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5" l="1"/>
  <c r="D25" i="5"/>
  <c r="D24" i="5"/>
  <c r="D22" i="5"/>
  <c r="D21" i="5"/>
  <c r="D18" i="5"/>
  <c r="D17" i="5"/>
  <c r="D16" i="5"/>
  <c r="D14" i="5"/>
  <c r="D10" i="5"/>
  <c r="D9" i="5"/>
  <c r="D8" i="5"/>
  <c r="D7" i="5"/>
  <c r="D6" i="5"/>
  <c r="D5" i="5"/>
  <c r="D4" i="5"/>
  <c r="D3" i="5"/>
  <c r="J101" i="2"/>
  <c r="K101" i="2" s="1"/>
  <c r="J100" i="2"/>
  <c r="K100" i="2" s="1"/>
  <c r="K99" i="2"/>
  <c r="J99" i="2"/>
  <c r="J98" i="2"/>
  <c r="K98" i="2" s="1"/>
  <c r="J97" i="2"/>
  <c r="K97" i="2" s="1"/>
  <c r="J96" i="2"/>
  <c r="K96" i="2" s="1"/>
  <c r="K95" i="2"/>
  <c r="J95" i="2"/>
  <c r="J94" i="2"/>
  <c r="K94" i="2" s="1"/>
  <c r="J93" i="2"/>
  <c r="K93" i="2" s="1"/>
  <c r="J92" i="2"/>
  <c r="K92" i="2" s="1"/>
  <c r="K91" i="2"/>
  <c r="J91" i="2"/>
  <c r="J90" i="2"/>
  <c r="K90" i="2" s="1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K79" i="2"/>
  <c r="J79" i="2"/>
  <c r="J78" i="2"/>
  <c r="K78" i="2" s="1"/>
  <c r="J77" i="2"/>
  <c r="K77" i="2" s="1"/>
  <c r="J76" i="2"/>
  <c r="K76" i="2" s="1"/>
  <c r="K75" i="2"/>
  <c r="J75" i="2"/>
  <c r="J74" i="2"/>
  <c r="K74" i="2" s="1"/>
  <c r="J73" i="2"/>
  <c r="K73" i="2" s="1"/>
  <c r="J72" i="2"/>
  <c r="K72" i="2" s="1"/>
  <c r="K71" i="2"/>
  <c r="J71" i="2"/>
  <c r="J70" i="2"/>
  <c r="K70" i="2" s="1"/>
  <c r="J69" i="2"/>
  <c r="K69" i="2" s="1"/>
  <c r="J68" i="2"/>
  <c r="K68" i="2" s="1"/>
  <c r="K67" i="2"/>
  <c r="J67" i="2"/>
  <c r="J66" i="2"/>
  <c r="K66" i="2" s="1"/>
  <c r="J65" i="2"/>
  <c r="K65" i="2" s="1"/>
  <c r="J64" i="2"/>
  <c r="K64" i="2" s="1"/>
  <c r="K63" i="2"/>
  <c r="J63" i="2"/>
  <c r="J62" i="2"/>
  <c r="K62" i="2" s="1"/>
  <c r="J61" i="2"/>
  <c r="K61" i="2" s="1"/>
  <c r="J60" i="2"/>
  <c r="K60" i="2" s="1"/>
  <c r="K59" i="2"/>
  <c r="J59" i="2"/>
  <c r="J58" i="2"/>
  <c r="K58" i="2" s="1"/>
  <c r="J57" i="2"/>
  <c r="K57" i="2" s="1"/>
  <c r="J56" i="2"/>
  <c r="K56" i="2" s="1"/>
  <c r="K55" i="2"/>
  <c r="J55" i="2"/>
  <c r="J54" i="2"/>
  <c r="K54" i="2" s="1"/>
  <c r="J53" i="2"/>
  <c r="K53" i="2" s="1"/>
  <c r="J52" i="2"/>
  <c r="K52" i="2" s="1"/>
  <c r="K51" i="2"/>
  <c r="J51" i="2"/>
  <c r="J50" i="2"/>
  <c r="K50" i="2" s="1"/>
  <c r="J49" i="2"/>
  <c r="K49" i="2" s="1"/>
  <c r="J48" i="2"/>
  <c r="K48" i="2" s="1"/>
  <c r="K47" i="2"/>
  <c r="J47" i="2"/>
  <c r="J46" i="2"/>
  <c r="K46" i="2" s="1"/>
  <c r="J45" i="2"/>
  <c r="K45" i="2" s="1"/>
  <c r="J44" i="2"/>
  <c r="K44" i="2" s="1"/>
  <c r="K43" i="2"/>
  <c r="J43" i="2"/>
  <c r="J42" i="2"/>
  <c r="K42" i="2" s="1"/>
  <c r="J41" i="2"/>
  <c r="D13" i="5" s="1"/>
  <c r="J40" i="2"/>
  <c r="K40" i="2" s="1"/>
  <c r="K39" i="2"/>
  <c r="J39" i="2"/>
  <c r="J38" i="2"/>
  <c r="K38" i="2" s="1"/>
  <c r="J37" i="2"/>
  <c r="K37" i="2" s="1"/>
  <c r="J36" i="2"/>
  <c r="K36" i="2" s="1"/>
  <c r="K35" i="2"/>
  <c r="J35" i="2"/>
  <c r="J34" i="2"/>
  <c r="K34" i="2" s="1"/>
  <c r="J33" i="2"/>
  <c r="K33" i="2" s="1"/>
  <c r="J32" i="2"/>
  <c r="K32" i="2" s="1"/>
  <c r="K31" i="2"/>
  <c r="J31" i="2"/>
  <c r="J30" i="2"/>
  <c r="K30" i="2" s="1"/>
  <c r="J29" i="2"/>
  <c r="K29" i="2" s="1"/>
  <c r="J28" i="2"/>
  <c r="K28" i="2" s="1"/>
  <c r="K27" i="2"/>
  <c r="J27" i="2"/>
  <c r="J26" i="2"/>
  <c r="K26" i="2" s="1"/>
  <c r="J25" i="2"/>
  <c r="K25" i="2" s="1"/>
  <c r="J24" i="2"/>
  <c r="D19" i="5" s="1"/>
  <c r="K23" i="2"/>
  <c r="J23" i="2"/>
  <c r="J22" i="2"/>
  <c r="K22" i="2" s="1"/>
  <c r="J21" i="2"/>
  <c r="K21" i="2" s="1"/>
  <c r="J20" i="2"/>
  <c r="K20" i="2" s="1"/>
  <c r="K19" i="2"/>
  <c r="J19" i="2"/>
  <c r="J18" i="2"/>
  <c r="K18" i="2" s="1"/>
  <c r="J17" i="2"/>
  <c r="K17" i="2" s="1"/>
  <c r="J16" i="2"/>
  <c r="K16" i="2" s="1"/>
  <c r="K15" i="2"/>
  <c r="J15" i="2"/>
  <c r="J14" i="2"/>
  <c r="K14" i="2" s="1"/>
  <c r="J13" i="2"/>
  <c r="K13" i="2" s="1"/>
  <c r="J12" i="2"/>
  <c r="K12" i="2" s="1"/>
  <c r="K11" i="2"/>
  <c r="J11" i="2"/>
  <c r="J10" i="2"/>
  <c r="K10" i="2" s="1"/>
  <c r="J9" i="2"/>
  <c r="D29" i="5" s="1"/>
  <c r="J8" i="2"/>
  <c r="K8" i="2" s="1"/>
  <c r="K7" i="2"/>
  <c r="J7" i="2"/>
  <c r="J6" i="2"/>
  <c r="K6" i="2" s="1"/>
  <c r="J5" i="2"/>
  <c r="K5" i="2" s="1"/>
  <c r="J4" i="2"/>
  <c r="K4" i="2" s="1"/>
  <c r="K3" i="2"/>
  <c r="J3" i="2"/>
  <c r="J2" i="2"/>
  <c r="D11" i="5" s="1"/>
  <c r="D20" i="5" l="1"/>
  <c r="D15" i="5"/>
  <c r="K9" i="2"/>
  <c r="K41" i="2"/>
  <c r="K24" i="2"/>
  <c r="D23" i="5"/>
  <c r="D26" i="5"/>
  <c r="D2" i="5"/>
  <c r="K2" i="2"/>
  <c r="D28" i="5" l="1"/>
  <c r="D12" i="5"/>
</calcChain>
</file>

<file path=xl/sharedStrings.xml><?xml version="1.0" encoding="utf-8"?>
<sst xmlns="http://schemas.openxmlformats.org/spreadsheetml/2006/main" count="791" uniqueCount="259">
  <si>
    <t>Excel Analytics Practice Assignment</t>
  </si>
  <si>
    <t>Topics Covered</t>
  </si>
  <si>
    <t>•  Conditional Formatting (Highlight Rules, Data Bars, Color Scales, Icon Sets, Duplicates)</t>
  </si>
  <si>
    <t>•  IF (single condition)</t>
  </si>
  <si>
    <t>•  Nested IF (multiple conditions)</t>
  </si>
  <si>
    <t>•  IFS (multiple conditions, cleaner syntax)</t>
  </si>
  <si>
    <t>•  SUMIF / SUMIFS</t>
  </si>
  <si>
    <t>•  AVERAGEIF / AVERAGEIFS</t>
  </si>
  <si>
    <t>•  COUNTIF / COUNTIFS</t>
  </si>
  <si>
    <t>•  MINIFS / MAXIFS</t>
  </si>
  <si>
    <t>Instructions for Students</t>
  </si>
  <si>
    <t>1. All questions use the dataset in the 'Sales_Data' sheet. Do not change the raw data.</t>
  </si>
  <si>
    <t>2. Go to the 'Assignment_Questions' sheet and 'Conditional_Formatting_Tasks' sheet to see your tasks.</t>
  </si>
  <si>
    <t>3. Type your formula/answer directly into the yellow 'Your Answer' cell next to each question.</t>
  </si>
  <si>
    <t>4. For Conditional Formatting tasks, apply the formatting directly on a COPY of the Sales_Data sheet (right-click the sheet tab &gt; Move or Copy &gt; Create a copy) named 'Sales_Data_Formatted'.</t>
  </si>
  <si>
    <t>5. Use cell references in your formulas wherever possible instead of typing raw numbers.</t>
  </si>
  <si>
    <t>6. Do not hardcode answers — your formula should recalculate correctly if the data changes.</t>
  </si>
  <si>
    <t>7. Save the file with your name before submitting, e.g. AnalyticsAssignment_YourName.xlsx</t>
  </si>
  <si>
    <t>Dataset Column Reference (Sales_Data sheet)</t>
  </si>
  <si>
    <t>A: OrderID | B: OrderDate | C: Region | D: Category | E: Product | F: SalesRep</t>
  </si>
  <si>
    <t>G: Units | H: UnitPrice | I: Discount% | J: Sales | K: Profit | L: CustomerType | M: Rating(1-5)</t>
  </si>
  <si>
    <t>OrderID</t>
  </si>
  <si>
    <t>OrderDate</t>
  </si>
  <si>
    <t>Region</t>
  </si>
  <si>
    <t>Category</t>
  </si>
  <si>
    <t>Product</t>
  </si>
  <si>
    <t>SalesRep</t>
  </si>
  <si>
    <t>Units</t>
  </si>
  <si>
    <t>UnitPrice</t>
  </si>
  <si>
    <t>Discount%</t>
  </si>
  <si>
    <t>Sales</t>
  </si>
  <si>
    <t>Profit</t>
  </si>
  <si>
    <t>CustomerType</t>
  </si>
  <si>
    <t>Rating</t>
  </si>
  <si>
    <t>ORD1001</t>
  </si>
  <si>
    <t>North</t>
  </si>
  <si>
    <t>Electronics</t>
  </si>
  <si>
    <t>Headphones</t>
  </si>
  <si>
    <t>Karan</t>
  </si>
  <si>
    <t>Retail</t>
  </si>
  <si>
    <t>ORD1002</t>
  </si>
  <si>
    <t>Furniture</t>
  </si>
  <si>
    <t>Study Table</t>
  </si>
  <si>
    <t>Ananya</t>
  </si>
  <si>
    <t>Wholesale</t>
  </si>
  <si>
    <t>ORD1003</t>
  </si>
  <si>
    <t>Sofa</t>
  </si>
  <si>
    <t>Vikram</t>
  </si>
  <si>
    <t>ORD1004</t>
  </si>
  <si>
    <t>East</t>
  </si>
  <si>
    <t>Clothing</t>
  </si>
  <si>
    <t>Cap</t>
  </si>
  <si>
    <t>Sneha</t>
  </si>
  <si>
    <t>ORD1005</t>
  </si>
  <si>
    <t>Stationery</t>
  </si>
  <si>
    <t>Pen Set</t>
  </si>
  <si>
    <t>Rohit</t>
  </si>
  <si>
    <t>ORD1006</t>
  </si>
  <si>
    <t>West</t>
  </si>
  <si>
    <t>Shoes</t>
  </si>
  <si>
    <t>ORD1007</t>
  </si>
  <si>
    <t>South</t>
  </si>
  <si>
    <t>Meera</t>
  </si>
  <si>
    <t>ORD1008</t>
  </si>
  <si>
    <t>ORD1009</t>
  </si>
  <si>
    <t>Bookshelf</t>
  </si>
  <si>
    <t>Priya</t>
  </si>
  <si>
    <t>ORD1010</t>
  </si>
  <si>
    <t>Jeans</t>
  </si>
  <si>
    <t>ORD1011</t>
  </si>
  <si>
    <t>Notebook</t>
  </si>
  <si>
    <t>ORD1012</t>
  </si>
  <si>
    <t>Backpack</t>
  </si>
  <si>
    <t>ORD1013</t>
  </si>
  <si>
    <t>ORD1014</t>
  </si>
  <si>
    <t>Arjun</t>
  </si>
  <si>
    <t>ORD1015</t>
  </si>
  <si>
    <t>Tablet</t>
  </si>
  <si>
    <t>ORD1016</t>
  </si>
  <si>
    <t>Desk Organizer</t>
  </si>
  <si>
    <t>ORD1017</t>
  </si>
  <si>
    <t>Grocery</t>
  </si>
  <si>
    <t>Spices</t>
  </si>
  <si>
    <t>ORD1018</t>
  </si>
  <si>
    <t>Laptop</t>
  </si>
  <si>
    <t>ORD1019</t>
  </si>
  <si>
    <t>Bed Frame</t>
  </si>
  <si>
    <t>ORD1020</t>
  </si>
  <si>
    <t>ORD1021</t>
  </si>
  <si>
    <t>ORD1022</t>
  </si>
  <si>
    <t>ORD1023</t>
  </si>
  <si>
    <t>Beverages</t>
  </si>
  <si>
    <t>ORD1024</t>
  </si>
  <si>
    <t>Snack Pack</t>
  </si>
  <si>
    <t>ORD1025</t>
  </si>
  <si>
    <t>ORD1026</t>
  </si>
  <si>
    <t>Smartwatch</t>
  </si>
  <si>
    <t>ORD1027</t>
  </si>
  <si>
    <t>ORD1028</t>
  </si>
  <si>
    <t>ORD1029</t>
  </si>
  <si>
    <t>ORD1030</t>
  </si>
  <si>
    <t>ORD1031</t>
  </si>
  <si>
    <t>Jacket</t>
  </si>
  <si>
    <t>ORD1032</t>
  </si>
  <si>
    <t>ORD1033</t>
  </si>
  <si>
    <t>ORD1034</t>
  </si>
  <si>
    <t>Cooking Oil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</si>
  <si>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</si>
  <si>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</si>
  <si>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</si>
  <si>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</si>
  <si>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</si>
  <si>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</si>
  <si>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</si>
  <si>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</si>
  <si>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</si>
  <si>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</si>
  <si>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</si>
  <si>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Smartphone</t>
  </si>
  <si>
    <t>ORD1046</t>
  </si>
  <si>
    <t>ORD1047</t>
  </si>
  <si>
    <t>ORD1048</t>
  </si>
  <si>
    <t>ORD1049</t>
  </si>
  <si>
    <t>ORD1050</t>
  </si>
  <si>
    <t>ORD1051</t>
  </si>
  <si>
    <t>Office Chair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</si>
  <si>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</si>
  <si>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</si>
  <si>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</si>
  <si>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</si>
  <si>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</si>
  <si>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</si>
  <si>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</si>
  <si>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</si>
  <si>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</si>
  <si>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</si>
  <si>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</si>
  <si>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</si>
  <si>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</si>
  <si>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</si>
  <si>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</si>
  <si>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</si>
  <si>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</si>
  <si>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</si>
  <si>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</si>
  <si>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</si>
  <si>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</si>
  <si>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</si>
  <si>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</si>
  <si>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</si>
  <si>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</si>
  <si>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Rice Bag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</si>
  <si>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</si>
  <si>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</si>
  <si>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</si>
  <si>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</si>
  <si>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</si>
  <si>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</si>
  <si>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</si>
  <si>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</si>
  <si>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</si>
  <si>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</si>
  <si>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</si>
  <si>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</si>
  <si>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</si>
  <si>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Marker Pack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</si>
  <si>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</si>
  <si>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</si>
  <si>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</si>
  <si>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</si>
  <si>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</si>
  <si>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</si>
  <si>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</si>
  <si>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</si>
  <si>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</si>
  <si>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</si>
  <si>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T-Shirt</t>
  </si>
  <si>
    <t>ORD1100</t>
  </si>
  <si>
    <t>Q.No</t>
  </si>
  <si>
    <t>Topic</t>
  </si>
  <si>
    <t>Question</t>
  </si>
  <si>
    <t>Your Answer (type formula here)</t>
  </si>
  <si>
    <t>IF</t>
  </si>
  <si>
    <t>In cell F2 area (use your Answer column), write a formula that returns "High" if a single order's Sales (Sales_Data!J2) is greater than 20000, otherwise "Low".</t>
  </si>
  <si>
    <t>Write a formula that checks Sales_Data!M2 (Rating) and returns "Good" if the rating is 4 or above, otherwise "Needs Improvement".</t>
  </si>
  <si>
    <t>Write a formula that returns "Wholesale Deal" if Sales_Data!L2 equals "Wholesale", otherwise "Retail Deal".</t>
  </si>
  <si>
    <t>Nested IF</t>
  </si>
  <si>
    <t>Write a nested IF formula that classifies Sales_Data!J2 (Sales) into "Small" (&lt; 5000), "Medium" (5000 to 20000), or "Large" (&gt; 20000).</t>
  </si>
  <si>
    <t>Write a nested IF formula that grades Sales_Data!M2 (Rating) as "Excellent" (5), "Good" (3 or 4), or "Poor" (1 or 2).</t>
  </si>
  <si>
    <t>Write a nested IF formula that assigns a Discount Tier to Sales_Data!I2 (Discount%): "No Discount" (0), "Low" (up to 10%), "High" (above 10%).</t>
  </si>
  <si>
    <t>IFS</t>
  </si>
  <si>
    <t>Rewrite Question 4 (Sales classification into Small/Medium/Large) using the IFS function instead of nested IF.</t>
  </si>
  <si>
    <t>Using IFS, classify Sales_Data!G2 (Units) as "Bulk Order" (&gt;=15), "Standard Order" (5 to 14), or "Small Order" (&lt;5).</t>
  </si>
  <si>
    <t>Using IFS, return the Region-wise shift label for Sales_Data!C2: "North" -&gt; "Zone A", "South" -&gt; "Zone B", "East" -&gt; "Zone C", "West" -&gt; "Zone D".</t>
  </si>
  <si>
    <t>SUMIF</t>
  </si>
  <si>
    <t>Find the total Sales for the "Electronics" category using SUMIF.</t>
  </si>
  <si>
    <t>Find the total Profit for orders placed in the "North" region using SUMIF.</t>
  </si>
  <si>
    <t>Find the total Sales for all orders with Rating equal to 5 using SUMIF.</t>
  </si>
  <si>
    <t>SUMIFS</t>
  </si>
  <si>
    <t>Find the total Sales for the "Electronics" category in the "North" region using SUMIFS.</t>
  </si>
  <si>
    <t>Find the total Profit for "Wholesale" customers with Sales greater than 10000, using SUMIFS.</t>
  </si>
  <si>
    <t>Find total Sales for orders from SalesRep "Ananya" in the "Clothing" category with a Discount% greater than 0, using SUMIFS.</t>
  </si>
  <si>
    <t>AVERAGEIF</t>
  </si>
  <si>
    <t>Find the average UnitPrice for the "Furniture" category using AVERAGEIF.</t>
  </si>
  <si>
    <t>Find the average Rating for orders from the "West" region using AVERAGEIF.</t>
  </si>
  <si>
    <t>AVERAGEIFS</t>
  </si>
  <si>
    <t>Find the average Sales for "Retail" customers in the "Grocery" category using AVERAGEIFS.</t>
  </si>
  <si>
    <t>Find the average Profit for orders in the "South" region with Units greater than 10, using AVERAGEIFS.</t>
  </si>
  <si>
    <t>COUNTIF</t>
  </si>
  <si>
    <t>Count how many orders belong to the "Stationery" category using COUNTIF.</t>
  </si>
  <si>
    <t>Count how many orders have a Rating of 5 using COUNTIF.</t>
  </si>
  <si>
    <t>Count how many orders have Sales greater than 15000 using COUNTIF.</t>
  </si>
  <si>
    <t>COUNTIFS</t>
  </si>
  <si>
    <t>Count how many "Wholesale" orders came from the "East" region using COUNTIFS.</t>
  </si>
  <si>
    <t>Count how many orders in the "Electronics" category have a Discount% greater than 10%, using COUNTIFS.</t>
  </si>
  <si>
    <t>MINIFS</t>
  </si>
  <si>
    <t>Find the minimum Sales value for the "Clothing" category using MINIFS.</t>
  </si>
  <si>
    <t>Find the minimum UnitPrice among orders from the "North" region using MINIFS.</t>
  </si>
  <si>
    <t>MAXIFS</t>
  </si>
  <si>
    <t>Find the maximum Profit for the "Electronics" category using MAXIFS.</t>
  </si>
  <si>
    <t>Find the maximum Sales value among "Wholesale" customers in the "South" region, using MAXIFS.</t>
  </si>
  <si>
    <t>Conditional Formatting Tasks</t>
  </si>
  <si>
    <t>Perform these tasks on a COPY of the Sales_Data sheet. Right-click the 'Sales_Data' tab, choose 'Move or Copy', tick 'Create a copy', and rename it 'Sales_Data_Formatted'. Apply each rule below using Home &gt; Conditional Formatting.</t>
  </si>
  <si>
    <t>Highlight the Sales column (J) in GREEN if the value is greater than 20000, and in RED if less than 5000.</t>
  </si>
  <si>
    <t>Apply a Data Bar to the Profit column (K) so you can visually compare profit across all orders.</t>
  </si>
  <si>
    <t>Apply a 3-Color Scale to the Rating column (M) so low ratings appear red and high ratings appear green.</t>
  </si>
  <si>
    <t>Use an Icon Set (3 arrows) on the Discount% column (I) to show low, medium, and high discounts.</t>
  </si>
  <si>
    <t>Highlight duplicate values in the Product column (E) using 'Highlight Cell Rules &gt; Duplicate Values'.</t>
  </si>
  <si>
    <t>Highlight the entire row in light yellow wherever CustomerType (L) = "Wholesale", using a formula-based rule (e.g. =$L2="Wholesale").</t>
  </si>
  <si>
    <t>Highlight the OrderDate cell (B) in orange for any order placed in the month of December.</t>
  </si>
  <si>
    <t>Model Answer / Formula</t>
  </si>
  <si>
    <t>=IF(SalesRep&gt;20000,"high","low")</t>
  </si>
  <si>
    <t>=IF(Rating&gt;=4,"good","need improvement")</t>
  </si>
  <si>
    <t>=IF(sales=wholesale,"wholesale deal","retail deal")</t>
  </si>
  <si>
    <t>=IF(Rating=5,"excelent",
IF(Rating&gt;=3,"good",
IF(Rating&gt;=1,"poor")))</t>
  </si>
  <si>
    <t>=IF(Discount=0,"No Discount",
IF(Discount&gt;=1%,"Low",
IF(Discount&gt;10%,"high")))</t>
  </si>
  <si>
    <t>=IFS(Sales&lt;5000,"small",Sales&gt;=5000,"medium",Sales&gt;20000,"large")</t>
  </si>
  <si>
    <t>=IF(Sales&lt;5000,"small",
IF(Sales&gt;=5000,"medium",
IF(Sales&gt;20000,"large")))</t>
  </si>
  <si>
    <t>=IFS(Units&gt;=15,"Bulk Order",Units&gt;=5,"Standard Order",Units&lt;5,"Small Order")</t>
  </si>
  <si>
    <t>=IFS(Region="north","Zone A",Region="south","Zone B",Region="East","Zone C",Region="West","Zone D")</t>
  </si>
  <si>
    <t>=SUMIF(Category,"Electronics",Sales)</t>
  </si>
  <si>
    <t>=SUMIF(Region,"North",Profit)</t>
  </si>
  <si>
    <t>=SUMIF(Rating,"5",Sales)</t>
  </si>
  <si>
    <t>=SUMIFS(Sales,Category,"Electronics",Region,"North")</t>
  </si>
  <si>
    <t>=SUMIFS(Profit,CustomerType,"Wholesale",Sales,"&gt;10000")</t>
  </si>
  <si>
    <t>=SUMIFS(Sales,SalesRep,"Ananya",Category,"Clothing",Discount,"&gt;0")</t>
  </si>
  <si>
    <t>=AVERAGEIF(Category,"Furniture",UnitPrice)</t>
  </si>
  <si>
    <t>=AVERAGEIF(Region,"West",Rating)</t>
  </si>
  <si>
    <t>=AVERAGEIFS(Sales,CustomerType,"Retail",Category,"Grocery")</t>
  </si>
  <si>
    <t>=AVERAGEIFS(Profit,Region,"South",Units,"&gt;10")</t>
  </si>
  <si>
    <t>=COUNTIF(Category,"Stationery")</t>
  </si>
  <si>
    <t>=COUNTIF(Rating,"5")</t>
  </si>
  <si>
    <t>=COUNTIF(Sales,"&gt;15000")</t>
  </si>
  <si>
    <t>=COUNTIFS(CustomerType,"Wholesale",Region,"East")</t>
  </si>
  <si>
    <t>=COUNTIFS(Category,"Electronics",Discount,"&gt;10%")</t>
  </si>
  <si>
    <t>=MINIFS(Sales,Category,"Clothing")</t>
  </si>
  <si>
    <t>=MINIFS(UnitPrice,Region,"North")</t>
  </si>
  <si>
    <t>=MAXIFS(Profit,Category,"Electronics")</t>
  </si>
  <si>
    <t>=MAXIFS(Sales,CustomerType,"Wholesale",Region,"South")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</si>
</sst>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Calibri"/>
      <charset val="1"/>
    </font>
    <font>
      <i/>
      <sz val="10"/>
      <name val="Calibri"/>
      <charset val="1"/>
    </font>
    <font>
      <b/>
      <sz val="10"/>
      <color rgb="FF375623"/>
      <name val="Calibri"/>
      <charset val="1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10" fillId="6" borderId="1" xfId="0" applyFont="1" applyFill="1" applyBorder="1"/>
    <xf numFmtId="0" fontId="5" fillId="4" borderId="1" xfId="0" quotePrefix="1" applyFont="1" applyFill="1" applyBorder="1"/>
    <xf numFmtId="0" fontId="5" fillId="4" borderId="1" xfId="0" quotePrefix="1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8" fillId="2" borderId="0" xfId="0" applyFont="1" applyFill="1" applyBorder="1"/>
    <xf numFmtId="0" fontId="9" fillId="0" borderId="0" xfId="0" applyFont="1" applyBorder="1" applyAlignment="1">
      <alignment wrapText="1"/>
    </xf>
  </cellXfs>
  <cellStyles count="1"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opLeftCell="A15" zoomScaleNormal="100" workbookViewId="0"/>
  </sheetViews>
  <sheetFormatPr defaultColWidth="8.6328125" defaultRowHeight="14.5" x14ac:dyDescent="0.35"/>
  <cols>
    <col min="1" max="1" width="3" customWidth="1"/>
    <col min="2" max="2" width="100" customWidth="1"/>
  </cols>
  <sheetData>
    <row r="2" spans="2:2" ht="30" customHeight="1" x14ac:dyDescent="0.35">
      <c r="B2" s="20" t="s">
        <v>0</v>
      </c>
    </row>
    <row r="3" spans="2:2" x14ac:dyDescent="0.35">
      <c r="B3" s="20"/>
    </row>
    <row r="5" spans="2:2" ht="17" x14ac:dyDescent="0.4">
      <c r="B5" s="1" t="s">
        <v>1</v>
      </c>
    </row>
    <row r="6" spans="2:2" x14ac:dyDescent="0.35">
      <c r="B6" s="2" t="s">
        <v>2</v>
      </c>
    </row>
    <row r="7" spans="2:2" x14ac:dyDescent="0.35">
      <c r="B7" s="2" t="s">
        <v>3</v>
      </c>
    </row>
    <row r="8" spans="2:2" x14ac:dyDescent="0.35">
      <c r="B8" s="2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 t="s">
        <v>9</v>
      </c>
    </row>
    <row r="15" spans="2:2" ht="17" x14ac:dyDescent="0.4">
      <c r="B15" s="1" t="s">
        <v>10</v>
      </c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 t="s">
        <v>13</v>
      </c>
    </row>
    <row r="19" spans="2:2" ht="29" x14ac:dyDescent="0.35">
      <c r="B19" s="3" t="s">
        <v>14</v>
      </c>
    </row>
    <row r="20" spans="2:2" x14ac:dyDescent="0.35">
      <c r="B20" s="3" t="s">
        <v>15</v>
      </c>
    </row>
    <row r="21" spans="2:2" x14ac:dyDescent="0.35">
      <c r="B21" s="3" t="s">
        <v>16</v>
      </c>
    </row>
    <row r="22" spans="2:2" x14ac:dyDescent="0.35">
      <c r="B22" s="3" t="s">
        <v>17</v>
      </c>
    </row>
    <row r="24" spans="2:2" ht="17" x14ac:dyDescent="0.4">
      <c r="B24" s="1" t="s">
        <v>18</v>
      </c>
    </row>
    <row r="25" spans="2:2" x14ac:dyDescent="0.35">
      <c r="B25" s="4" t="s">
        <v>19</v>
      </c>
    </row>
    <row r="26" spans="2:2" x14ac:dyDescent="0.35">
      <c r="B26" s="4" t="s">
        <v>20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abSelected="1" zoomScaleNormal="100" workbookViewId="0">
      <pane ySplit="1" topLeftCell="A1048560" activePane="bottomLeft" state="frozen"/>
      <selection pane="bottomLeft" activeCell="F1048567" sqref="F1048567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0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19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33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ref="J34:J65" si="1">G34*H34*(1-I34)</f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1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1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1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1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1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1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1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1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1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1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1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1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1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1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1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1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1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1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1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1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1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1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1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1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1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1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1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1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1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1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1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97" si="2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2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2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2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2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2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2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2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2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2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2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2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2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2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2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2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2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2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2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2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2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2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2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2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2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2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2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2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2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2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2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2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ref="J98:J101" si="3">G98*H98*(1-I98)</f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3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3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3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conditionalFormatting sqref="J1:J101">
    <cfRule type="cellIs" dxfId="11" priority="12" operator="greaterThan">
      <formula>20000</formula>
    </cfRule>
    <cfRule type="cellIs" dxfId="10" priority="11" operator="lessThan">
      <formula>5000</formula>
    </cfRule>
  </conditionalFormatting>
  <conditionalFormatting sqref="K1:K104857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{36679225-9F67-4C80-B595-6A26BB3EA7B8}</x14:id>
        </ext>
      </extLst>
    </cfRule>
  </conditionalFormatting>
  <conditionalFormatting sqref="M1:M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theme="9" tint="0.39997558519241921"/>
        <color theme="8" tint="0.39997558519241921"/>
        <color theme="6" tint="0.39997558519241921"/>
      </colorScale>
    </cfRule>
    <cfRule type="colorScale" priority="7">
      <colorScale>
        <cfvo type="min"/>
        <cfvo type="percentile" val="50"/>
        <cfvo type="max"/>
        <color theme="9" tint="-0.249977111117893"/>
        <color theme="8" tint="-0.249977111117893"/>
        <color theme="6" tint="-0.249977111117893"/>
      </colorScale>
    </cfRule>
    <cfRule type="colorScale" priority="6">
      <colorScale>
        <cfvo type="min"/>
        <cfvo type="percentile" val="50"/>
        <cfvo type="max"/>
        <color theme="9" tint="0.39997558519241921"/>
        <color theme="8" tint="0.39997558519241921"/>
        <color theme="7" tint="0.39997558519241921"/>
      </colorScale>
    </cfRule>
  </conditionalFormatting>
  <conditionalFormatting sqref="I1:I104857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1:E1048576">
    <cfRule type="duplicateValues" dxfId="9" priority="4"/>
    <cfRule type="duplicateValues" dxfId="8" priority="3"/>
  </conditionalFormatting>
  <conditionalFormatting sqref="L1:L1048576">
    <cfRule type="cellIs" dxfId="7" priority="2" operator="equal">
      <formula>"Wholesale"</formula>
    </cfRule>
  </conditionalFormatting>
  <conditionalFormatting sqref="B1:B1048576">
    <cfRule type="cellIs" dxfId="6" priority="1" operator="between">
      <formula>45992</formula>
      <formula>46022</formula>
    </cfRule>
  </conditionalFormatting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679225-9F67-4C80-B595-6A26BB3EA7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zoomScaleNormal="100" workbookViewId="0">
      <pane ySplit="1" topLeftCell="A24" activePane="bottomLeft" state="frozen"/>
      <selection pane="bottomLeft" activeCell="D30" sqref="D30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53.36328125" bestFit="1" customWidth="1"/>
  </cols>
  <sheetData>
    <row r="1" spans="1:4" ht="21.75" customHeight="1" x14ac:dyDescent="0.35">
      <c r="A1" s="10" t="s">
        <v>178</v>
      </c>
      <c r="B1" s="10" t="s">
        <v>179</v>
      </c>
      <c r="C1" s="10" t="s">
        <v>180</v>
      </c>
      <c r="D1" s="10" t="s">
        <v>181</v>
      </c>
    </row>
    <row r="2" spans="1:4" ht="33.75" customHeight="1" x14ac:dyDescent="0.35">
      <c r="A2" s="11">
        <v>1</v>
      </c>
      <c r="B2" s="12" t="s">
        <v>182</v>
      </c>
      <c r="C2" s="13" t="s">
        <v>183</v>
      </c>
      <c r="D2" s="17" t="s">
        <v>231</v>
      </c>
    </row>
    <row r="3" spans="1:4" ht="33.75" customHeight="1" x14ac:dyDescent="0.35">
      <c r="A3" s="11">
        <v>2</v>
      </c>
      <c r="B3" s="12" t="s">
        <v>182</v>
      </c>
      <c r="C3" s="13" t="s">
        <v>184</v>
      </c>
      <c r="D3" s="17" t="s">
        <v>232</v>
      </c>
    </row>
    <row r="4" spans="1:4" ht="33.75" customHeight="1" x14ac:dyDescent="0.35">
      <c r="A4" s="11">
        <v>3</v>
      </c>
      <c r="B4" s="12" t="s">
        <v>182</v>
      </c>
      <c r="C4" s="13" t="s">
        <v>185</v>
      </c>
      <c r="D4" s="17" t="s">
        <v>233</v>
      </c>
    </row>
    <row r="5" spans="1:4" ht="39.5" x14ac:dyDescent="0.35">
      <c r="A5" s="11">
        <v>4</v>
      </c>
      <c r="B5" s="12" t="s">
        <v>186</v>
      </c>
      <c r="C5" s="13" t="s">
        <v>187</v>
      </c>
      <c r="D5" s="18" t="s">
        <v>237</v>
      </c>
    </row>
    <row r="6" spans="1:4" ht="42.5" customHeight="1" x14ac:dyDescent="0.35">
      <c r="A6" s="11">
        <v>5</v>
      </c>
      <c r="B6" s="12" t="s">
        <v>186</v>
      </c>
      <c r="C6" s="13" t="s">
        <v>188</v>
      </c>
      <c r="D6" s="18" t="s">
        <v>234</v>
      </c>
    </row>
    <row r="7" spans="1:4" ht="39.5" x14ac:dyDescent="0.35">
      <c r="A7" s="11">
        <v>6</v>
      </c>
      <c r="B7" s="12" t="s">
        <v>186</v>
      </c>
      <c r="C7" s="13" t="s">
        <v>189</v>
      </c>
      <c r="D7" s="18" t="s">
        <v>235</v>
      </c>
    </row>
    <row r="8" spans="1:4" ht="33.75" customHeight="1" x14ac:dyDescent="0.35">
      <c r="A8" s="11">
        <v>7</v>
      </c>
      <c r="B8" s="12" t="s">
        <v>190</v>
      </c>
      <c r="C8" s="13" t="s">
        <v>191</v>
      </c>
      <c r="D8" s="17" t="s">
        <v>236</v>
      </c>
    </row>
    <row r="9" spans="1:4" ht="33.75" customHeight="1" x14ac:dyDescent="0.35">
      <c r="A9" s="11">
        <v>8</v>
      </c>
      <c r="B9" s="12" t="s">
        <v>190</v>
      </c>
      <c r="C9" s="13" t="s">
        <v>192</v>
      </c>
      <c r="D9" s="17" t="s">
        <v>238</v>
      </c>
    </row>
    <row r="10" spans="1:4" ht="33.75" customHeight="1" x14ac:dyDescent="0.35">
      <c r="A10" s="11">
        <v>9</v>
      </c>
      <c r="B10" s="12" t="s">
        <v>190</v>
      </c>
      <c r="C10" s="13" t="s">
        <v>193</v>
      </c>
      <c r="D10" s="17" t="s">
        <v>239</v>
      </c>
    </row>
    <row r="11" spans="1:4" ht="33.75" customHeight="1" x14ac:dyDescent="0.35">
      <c r="A11" s="11">
        <v>10</v>
      </c>
      <c r="B11" s="12" t="s">
        <v>194</v>
      </c>
      <c r="C11" s="13" t="s">
        <v>195</v>
      </c>
      <c r="D11" s="17" t="s">
        <v>240</v>
      </c>
    </row>
    <row r="12" spans="1:4" ht="33.75" customHeight="1" x14ac:dyDescent="0.35">
      <c r="A12" s="11">
        <v>11</v>
      </c>
      <c r="B12" s="12" t="s">
        <v>194</v>
      </c>
      <c r="C12" s="13" t="s">
        <v>196</v>
      </c>
      <c r="D12" s="17" t="s">
        <v>241</v>
      </c>
    </row>
    <row r="13" spans="1:4" ht="33.75" customHeight="1" x14ac:dyDescent="0.35">
      <c r="A13" s="11">
        <v>12</v>
      </c>
      <c r="B13" s="12" t="s">
        <v>194</v>
      </c>
      <c r="C13" s="13" t="s">
        <v>197</v>
      </c>
      <c r="D13" s="17" t="s">
        <v>242</v>
      </c>
    </row>
    <row r="14" spans="1:4" ht="33.75" customHeight="1" x14ac:dyDescent="0.35">
      <c r="A14" s="11">
        <v>13</v>
      </c>
      <c r="B14" s="12" t="s">
        <v>198</v>
      </c>
      <c r="C14" s="13" t="s">
        <v>199</v>
      </c>
      <c r="D14" s="17" t="s">
        <v>243</v>
      </c>
    </row>
    <row r="15" spans="1:4" ht="33.75" customHeight="1" x14ac:dyDescent="0.35">
      <c r="A15" s="11">
        <v>14</v>
      </c>
      <c r="B15" s="12" t="s">
        <v>198</v>
      </c>
      <c r="C15" s="13" t="s">
        <v>200</v>
      </c>
      <c r="D15" s="17" t="s">
        <v>244</v>
      </c>
    </row>
    <row r="16" spans="1:4" ht="33.75" customHeight="1" x14ac:dyDescent="0.35">
      <c r="A16" s="11">
        <v>15</v>
      </c>
      <c r="B16" s="12" t="s">
        <v>198</v>
      </c>
      <c r="C16" s="13" t="s">
        <v>201</v>
      </c>
      <c r="D16" s="17" t="s">
        <v>245</v>
      </c>
    </row>
    <row r="17" spans="1:4" ht="33.75" customHeight="1" x14ac:dyDescent="0.35">
      <c r="A17" s="11">
        <v>16</v>
      </c>
      <c r="B17" s="12" t="s">
        <v>202</v>
      </c>
      <c r="C17" s="13" t="s">
        <v>203</v>
      </c>
      <c r="D17" s="17" t="s">
        <v>246</v>
      </c>
    </row>
    <row r="18" spans="1:4" ht="33.75" customHeight="1" x14ac:dyDescent="0.35">
      <c r="A18" s="11">
        <v>17</v>
      </c>
      <c r="B18" s="12" t="s">
        <v>202</v>
      </c>
      <c r="C18" s="13" t="s">
        <v>204</v>
      </c>
      <c r="D18" s="17" t="s">
        <v>247</v>
      </c>
    </row>
    <row r="19" spans="1:4" ht="33.75" customHeight="1" x14ac:dyDescent="0.35">
      <c r="A19" s="11">
        <v>18</v>
      </c>
      <c r="B19" s="12" t="s">
        <v>205</v>
      </c>
      <c r="C19" s="13" t="s">
        <v>206</v>
      </c>
      <c r="D19" s="17" t="s">
        <v>248</v>
      </c>
    </row>
    <row r="20" spans="1:4" ht="33.75" customHeight="1" x14ac:dyDescent="0.35">
      <c r="A20" s="11">
        <v>19</v>
      </c>
      <c r="B20" s="12" t="s">
        <v>205</v>
      </c>
      <c r="C20" s="13" t="s">
        <v>207</v>
      </c>
      <c r="D20" s="17" t="s">
        <v>249</v>
      </c>
    </row>
    <row r="21" spans="1:4" ht="33.75" customHeight="1" x14ac:dyDescent="0.35">
      <c r="A21" s="11">
        <v>20</v>
      </c>
      <c r="B21" s="12" t="s">
        <v>208</v>
      </c>
      <c r="C21" s="13" t="s">
        <v>209</v>
      </c>
      <c r="D21" s="17" t="s">
        <v>250</v>
      </c>
    </row>
    <row r="22" spans="1:4" ht="33.75" customHeight="1" x14ac:dyDescent="0.35">
      <c r="A22" s="11">
        <v>21</v>
      </c>
      <c r="B22" s="12" t="s">
        <v>208</v>
      </c>
      <c r="C22" s="13" t="s">
        <v>210</v>
      </c>
      <c r="D22" s="17" t="s">
        <v>251</v>
      </c>
    </row>
    <row r="23" spans="1:4" ht="33.75" customHeight="1" x14ac:dyDescent="0.35">
      <c r="A23" s="11">
        <v>22</v>
      </c>
      <c r="B23" s="12" t="s">
        <v>208</v>
      </c>
      <c r="C23" s="13" t="s">
        <v>211</v>
      </c>
      <c r="D23" s="17" t="s">
        <v>252</v>
      </c>
    </row>
    <row r="24" spans="1:4" ht="33.75" customHeight="1" x14ac:dyDescent="0.35">
      <c r="A24" s="11">
        <v>23</v>
      </c>
      <c r="B24" s="12" t="s">
        <v>212</v>
      </c>
      <c r="C24" s="13" t="s">
        <v>213</v>
      </c>
      <c r="D24" s="17" t="s">
        <v>253</v>
      </c>
    </row>
    <row r="25" spans="1:4" ht="33.75" customHeight="1" x14ac:dyDescent="0.35">
      <c r="A25" s="11">
        <v>24</v>
      </c>
      <c r="B25" s="12" t="s">
        <v>212</v>
      </c>
      <c r="C25" s="13" t="s">
        <v>214</v>
      </c>
      <c r="D25" s="17" t="s">
        <v>254</v>
      </c>
    </row>
    <row r="26" spans="1:4" ht="33.75" customHeight="1" x14ac:dyDescent="0.35">
      <c r="A26" s="11">
        <v>25</v>
      </c>
      <c r="B26" s="12" t="s">
        <v>215</v>
      </c>
      <c r="C26" s="13" t="s">
        <v>216</v>
      </c>
      <c r="D26" s="17" t="s">
        <v>255</v>
      </c>
    </row>
    <row r="27" spans="1:4" ht="33.75" customHeight="1" x14ac:dyDescent="0.35">
      <c r="A27" s="11">
        <v>26</v>
      </c>
      <c r="B27" s="12" t="s">
        <v>215</v>
      </c>
      <c r="C27" s="13" t="s">
        <v>217</v>
      </c>
      <c r="D27" s="17" t="s">
        <v>256</v>
      </c>
    </row>
    <row r="28" spans="1:4" ht="33.75" customHeight="1" x14ac:dyDescent="0.35">
      <c r="A28" s="11">
        <v>27</v>
      </c>
      <c r="B28" s="12" t="s">
        <v>218</v>
      </c>
      <c r="C28" s="13" t="s">
        <v>219</v>
      </c>
      <c r="D28" s="17" t="s">
        <v>257</v>
      </c>
    </row>
    <row r="29" spans="1:4" ht="33.75" customHeight="1" x14ac:dyDescent="0.35">
      <c r="A29" s="11">
        <v>28</v>
      </c>
      <c r="B29" s="12" t="s">
        <v>218</v>
      </c>
      <c r="C29" s="13" t="s">
        <v>220</v>
      </c>
      <c r="D29" s="17" t="s">
        <v>258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opLeftCell="A5" zoomScaleNormal="100" workbookViewId="0">
      <selection sqref="A1:B1"/>
    </sheetView>
  </sheetViews>
  <sheetFormatPr defaultColWidth="8.6328125" defaultRowHeight="14.5" x14ac:dyDescent="0.35"/>
  <cols>
    <col min="1" max="1" width="6" customWidth="1"/>
    <col min="2" max="2" width="95" customWidth="1"/>
  </cols>
  <sheetData>
    <row r="1" spans="1:2" ht="25.5" customHeight="1" x14ac:dyDescent="0.45">
      <c r="A1" s="21" t="s">
        <v>221</v>
      </c>
      <c r="B1" s="21"/>
    </row>
    <row r="2" spans="1:2" ht="39.75" customHeight="1" x14ac:dyDescent="0.35">
      <c r="A2" s="22" t="s">
        <v>222</v>
      </c>
      <c r="B2" s="22"/>
    </row>
    <row r="4" spans="1:2" ht="31.5" customHeight="1" x14ac:dyDescent="0.35">
      <c r="A4" s="14">
        <v>1</v>
      </c>
      <c r="B4" s="13" t="s">
        <v>223</v>
      </c>
    </row>
    <row r="5" spans="1:2" ht="31.5" customHeight="1" x14ac:dyDescent="0.35">
      <c r="A5" s="14">
        <v>2</v>
      </c>
      <c r="B5" s="13" t="s">
        <v>224</v>
      </c>
    </row>
    <row r="6" spans="1:2" ht="31.5" customHeight="1" x14ac:dyDescent="0.35">
      <c r="A6" s="14">
        <v>3</v>
      </c>
      <c r="B6" s="13" t="s">
        <v>225</v>
      </c>
    </row>
    <row r="7" spans="1:2" ht="31.5" customHeight="1" x14ac:dyDescent="0.35">
      <c r="A7" s="14">
        <v>4</v>
      </c>
      <c r="B7" s="13" t="s">
        <v>226</v>
      </c>
    </row>
    <row r="8" spans="1:2" ht="31.5" customHeight="1" x14ac:dyDescent="0.35">
      <c r="A8" s="14">
        <v>5</v>
      </c>
      <c r="B8" s="13" t="s">
        <v>227</v>
      </c>
    </row>
    <row r="9" spans="1:2" ht="31.5" customHeight="1" x14ac:dyDescent="0.35">
      <c r="A9" s="14">
        <v>6</v>
      </c>
      <c r="B9" s="13" t="s">
        <v>228</v>
      </c>
    </row>
    <row r="10" spans="1:2" ht="31.5" customHeight="1" x14ac:dyDescent="0.35">
      <c r="A10" s="14">
        <v>7</v>
      </c>
      <c r="B10" s="13" t="s">
        <v>229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45" customWidth="1"/>
  </cols>
  <sheetData>
    <row r="1" spans="1:4" x14ac:dyDescent="0.35">
      <c r="A1" s="15" t="s">
        <v>178</v>
      </c>
      <c r="B1" s="15" t="s">
        <v>179</v>
      </c>
      <c r="C1" s="15" t="s">
        <v>180</v>
      </c>
      <c r="D1" s="15" t="s">
        <v>230</v>
      </c>
    </row>
    <row r="2" spans="1:4" ht="33.75" customHeight="1" x14ac:dyDescent="0.35">
      <c r="A2" s="11">
        <v>1</v>
      </c>
      <c r="B2" s="12" t="s">
        <v>182</v>
      </c>
      <c r="C2" s="13" t="s">
        <v>183</v>
      </c>
      <c r="D2" s="16" t="str">
        <f>IF(Sales_Data!J2&gt;20000,"High","Low")</f>
        <v>High</v>
      </c>
    </row>
    <row r="3" spans="1:4" ht="33.75" customHeight="1" x14ac:dyDescent="0.35">
      <c r="A3" s="11">
        <v>2</v>
      </c>
      <c r="B3" s="12" t="s">
        <v>182</v>
      </c>
      <c r="C3" s="13" t="s">
        <v>184</v>
      </c>
      <c r="D3" s="16" t="str">
        <f>IF(Sales_Data!M2&gt;=4,"Good","Needs Improvement")</f>
        <v>Good</v>
      </c>
    </row>
    <row r="4" spans="1:4" ht="33.75" customHeight="1" x14ac:dyDescent="0.35">
      <c r="A4" s="11">
        <v>3</v>
      </c>
      <c r="B4" s="12" t="s">
        <v>182</v>
      </c>
      <c r="C4" s="13" t="s">
        <v>185</v>
      </c>
      <c r="D4" s="16" t="str">
        <f>IF(Sales_Data!L2="Wholesale","Wholesale Deal","Retail Deal")</f>
        <v>Retail Deal</v>
      </c>
    </row>
    <row r="5" spans="1:4" ht="33.75" customHeight="1" x14ac:dyDescent="0.35">
      <c r="A5" s="11">
        <v>4</v>
      </c>
      <c r="B5" s="12" t="s">
        <v>186</v>
      </c>
      <c r="C5" s="13" t="s">
        <v>187</v>
      </c>
      <c r="D5" s="16" t="str">
        <f>IF(Sales_Data!J2&lt;5000,"Small",IF(Sales_Data!J2&lt;=20000,"Medium","Large"))</f>
        <v>Large</v>
      </c>
    </row>
    <row r="6" spans="1:4" ht="33.75" customHeight="1" x14ac:dyDescent="0.35">
      <c r="A6" s="11">
        <v>5</v>
      </c>
      <c r="B6" s="12" t="s">
        <v>186</v>
      </c>
      <c r="C6" s="13" t="s">
        <v>188</v>
      </c>
      <c r="D6" s="16" t="str">
        <f>IF(Sales_Data!M2=5,"Excellent",IF(Sales_Data!M2&gt;=3,"Good","Poor"))</f>
        <v>Excellent</v>
      </c>
    </row>
    <row r="7" spans="1:4" ht="33.75" customHeight="1" x14ac:dyDescent="0.35">
      <c r="A7" s="11">
        <v>6</v>
      </c>
      <c r="B7" s="12" t="s">
        <v>186</v>
      </c>
      <c r="C7" s="13" t="s">
        <v>189</v>
      </c>
      <c r="D7" s="16" t="str">
        <f>IF(Sales_Data!I2=0,"No Discount",IF(Sales_Data!I2&lt;=0.1,"Low","High"))</f>
        <v>No Discount</v>
      </c>
    </row>
    <row r="8" spans="1:4" ht="33.75" customHeight="1" x14ac:dyDescent="0.35">
      <c r="A8" s="11">
        <v>7</v>
      </c>
      <c r="B8" s="12" t="s">
        <v>190</v>
      </c>
      <c r="C8" s="13" t="s">
        <v>191</v>
      </c>
      <c r="D8" s="16" t="str">
        <f>_xlfn.IFS(Sales_Data!J2&lt;5000,"Small",Sales_Data!J2&lt;=20000,"Medium",Sales_Data!J2&gt;20000,"Large")</f>
        <v>Large</v>
      </c>
    </row>
    <row r="9" spans="1:4" ht="33.75" customHeight="1" x14ac:dyDescent="0.35">
      <c r="A9" s="11">
        <v>8</v>
      </c>
      <c r="B9" s="12" t="s">
        <v>190</v>
      </c>
      <c r="C9" s="13" t="s">
        <v>192</v>
      </c>
      <c r="D9" s="16" t="str">
        <f>_xlfn.IFS(Sales_Data!G2&gt;=15,"Bulk Order",Sales_Data!G2&gt;=5,"Standard Order",Sales_Data!G2&lt;5,"Small Order")</f>
        <v>Standard Order</v>
      </c>
    </row>
    <row r="10" spans="1:4" ht="33.75" customHeight="1" x14ac:dyDescent="0.35">
      <c r="A10" s="11">
        <v>9</v>
      </c>
      <c r="B10" s="12" t="s">
        <v>190</v>
      </c>
      <c r="C10" s="13" t="s">
        <v>193</v>
      </c>
      <c r="D10" s="16" t="str">
        <f>_xlfn.IFS(Sales_Data!C2="North","Zone A",Sales_Data!C2="South","Zone B",Sales_Data!C2="East","Zone C",Sales_Data!C2="West","Zone D")</f>
        <v>Zone A</v>
      </c>
    </row>
    <row r="11" spans="1:4" ht="33.75" customHeight="1" x14ac:dyDescent="0.35">
      <c r="A11" s="11">
        <v>10</v>
      </c>
      <c r="B11" s="12" t="s">
        <v>194</v>
      </c>
      <c r="C11" s="13" t="s">
        <v>195</v>
      </c>
      <c r="D11" s="16">
        <f>SUMIF(Sales_Data!D:D,"Electronics",Sales_Data!J:J)</f>
        <v>3660496.0115000005</v>
      </c>
    </row>
    <row r="12" spans="1:4" ht="33.75" customHeight="1" x14ac:dyDescent="0.35">
      <c r="A12" s="11">
        <v>11</v>
      </c>
      <c r="B12" s="12" t="s">
        <v>194</v>
      </c>
      <c r="C12" s="13" t="s">
        <v>196</v>
      </c>
      <c r="D12" s="16">
        <f>SUMIF(Sales_Data!C:C,"North",Sales_Data!K:K)</f>
        <v>498720.05</v>
      </c>
    </row>
    <row r="13" spans="1:4" ht="33.75" customHeight="1" x14ac:dyDescent="0.35">
      <c r="A13" s="11">
        <v>12</v>
      </c>
      <c r="B13" s="12" t="s">
        <v>194</v>
      </c>
      <c r="C13" s="13" t="s">
        <v>197</v>
      </c>
      <c r="D13" s="16">
        <f>SUMIF(Sales_Data!M:M,5,Sales_Data!J:J)</f>
        <v>790492.61950000003</v>
      </c>
    </row>
    <row r="14" spans="1:4" ht="33.75" customHeight="1" x14ac:dyDescent="0.35">
      <c r="A14" s="11">
        <v>13</v>
      </c>
      <c r="B14" s="12" t="s">
        <v>198</v>
      </c>
      <c r="C14" s="13" t="s">
        <v>199</v>
      </c>
      <c r="D14" s="16">
        <f>SUMIFS(Sales_Data!J:J,Sales_Data!D:D,"Electronics",Sales_Data!C:C,"North")</f>
        <v>1205581.169</v>
      </c>
    </row>
    <row r="15" spans="1:4" ht="33.75" customHeight="1" x14ac:dyDescent="0.35">
      <c r="A15" s="11">
        <v>14</v>
      </c>
      <c r="B15" s="12" t="s">
        <v>198</v>
      </c>
      <c r="C15" s="13" t="s">
        <v>200</v>
      </c>
      <c r="D15" s="16">
        <f>SUMIFS(Sales_Data!K:K,Sales_Data!L:L,"Wholesale",Sales_Data!J:J,"&gt;10000")</f>
        <v>566137.34999999974</v>
      </c>
    </row>
    <row r="16" spans="1:4" ht="33.75" customHeight="1" x14ac:dyDescent="0.35">
      <c r="A16" s="11">
        <v>15</v>
      </c>
      <c r="B16" s="12" t="s">
        <v>198</v>
      </c>
      <c r="C16" s="13" t="s">
        <v>201</v>
      </c>
      <c r="D16" s="16">
        <f>SUMIFS(Sales_Data!J:J,Sales_Data!F:F,"Ananya",Sales_Data!D:D,"Clothing",Sales_Data!I:I,"&gt;0")</f>
        <v>42341.279999999999</v>
      </c>
    </row>
    <row r="17" spans="1:4" ht="33.75" customHeight="1" x14ac:dyDescent="0.35">
      <c r="A17" s="11">
        <v>16</v>
      </c>
      <c r="B17" s="12" t="s">
        <v>202</v>
      </c>
      <c r="C17" s="13" t="s">
        <v>203</v>
      </c>
      <c r="D17" s="16">
        <f>AVERAGEIF(Sales_Data!D:D,"Furniture",Sales_Data!H:H)</f>
        <v>5379.4805263157896</v>
      </c>
    </row>
    <row r="18" spans="1:4" ht="33.75" customHeight="1" x14ac:dyDescent="0.35">
      <c r="A18" s="11">
        <v>17</v>
      </c>
      <c r="B18" s="12" t="s">
        <v>202</v>
      </c>
      <c r="C18" s="13" t="s">
        <v>204</v>
      </c>
      <c r="D18" s="16">
        <f>AVERAGEIF(Sales_Data!C:C,"West",Sales_Data!M:M)</f>
        <v>2.9130434782608696</v>
      </c>
    </row>
    <row r="19" spans="1:4" ht="33.75" customHeight="1" x14ac:dyDescent="0.35">
      <c r="A19" s="11">
        <v>18</v>
      </c>
      <c r="B19" s="12" t="s">
        <v>205</v>
      </c>
      <c r="C19" s="13" t="s">
        <v>206</v>
      </c>
      <c r="D19" s="16">
        <f>AVERAGEIFS(Sales_Data!J:J,Sales_Data!L:L,"Retail",Sales_Data!D:D,"Grocery")</f>
        <v>21427.68175</v>
      </c>
    </row>
    <row r="20" spans="1:4" ht="33.75" customHeight="1" x14ac:dyDescent="0.35">
      <c r="A20" s="11">
        <v>19</v>
      </c>
      <c r="B20" s="12" t="s">
        <v>205</v>
      </c>
      <c r="C20" s="13" t="s">
        <v>207</v>
      </c>
      <c r="D20" s="16">
        <f>AVERAGEIFS(Sales_Data!K:K,Sales_Data!C:C,"South",Sales_Data!G:G,"&gt;10")</f>
        <v>17683.03</v>
      </c>
    </row>
    <row r="21" spans="1:4" ht="33.75" customHeight="1" x14ac:dyDescent="0.35">
      <c r="A21" s="11">
        <v>20</v>
      </c>
      <c r="B21" s="12" t="s">
        <v>208</v>
      </c>
      <c r="C21" s="13" t="s">
        <v>209</v>
      </c>
      <c r="D21" s="16">
        <f>COUNTIF(Sales_Data!D:D,"Stationery")</f>
        <v>21</v>
      </c>
    </row>
    <row r="22" spans="1:4" ht="33.75" customHeight="1" x14ac:dyDescent="0.35">
      <c r="A22" s="11">
        <v>21</v>
      </c>
      <c r="B22" s="12" t="s">
        <v>208</v>
      </c>
      <c r="C22" s="13" t="s">
        <v>210</v>
      </c>
      <c r="D22" s="16">
        <f>COUNTIF(Sales_Data!M:M,5)</f>
        <v>17</v>
      </c>
    </row>
    <row r="23" spans="1:4" ht="33.75" customHeight="1" x14ac:dyDescent="0.35">
      <c r="A23" s="11">
        <v>22</v>
      </c>
      <c r="B23" s="12" t="s">
        <v>208</v>
      </c>
      <c r="C23" s="13" t="s">
        <v>211</v>
      </c>
      <c r="D23" s="16">
        <f>COUNTIF(Sales_Data!J:J,"&gt;15000")</f>
        <v>76</v>
      </c>
    </row>
    <row r="24" spans="1:4" ht="33.75" customHeight="1" x14ac:dyDescent="0.35">
      <c r="A24" s="11">
        <v>23</v>
      </c>
      <c r="B24" s="12" t="s">
        <v>212</v>
      </c>
      <c r="C24" s="13" t="s">
        <v>213</v>
      </c>
      <c r="D24" s="16">
        <f>COUNTIFS(Sales_Data!L:L,"Wholesale",Sales_Data!C:C,"East")</f>
        <v>9</v>
      </c>
    </row>
    <row r="25" spans="1:4" ht="33.75" customHeight="1" x14ac:dyDescent="0.35">
      <c r="A25" s="11">
        <v>24</v>
      </c>
      <c r="B25" s="12" t="s">
        <v>212</v>
      </c>
      <c r="C25" s="13" t="s">
        <v>214</v>
      </c>
      <c r="D25" s="16">
        <f>COUNTIFS(Sales_Data!D:D,"Electronics",Sales_Data!I:I,"&gt;0.1")</f>
        <v>2</v>
      </c>
    </row>
    <row r="26" spans="1:4" ht="33.75" customHeight="1" x14ac:dyDescent="0.35">
      <c r="A26" s="11">
        <v>25</v>
      </c>
      <c r="B26" s="12" t="s">
        <v>215</v>
      </c>
      <c r="C26" s="13" t="s">
        <v>216</v>
      </c>
      <c r="D26" s="16">
        <f>_xlfn.MINIFS(Sales_Data!J:J,Sales_Data!D:D,"Clothing")</f>
        <v>923.67</v>
      </c>
    </row>
    <row r="27" spans="1:4" ht="33.75" customHeight="1" x14ac:dyDescent="0.35">
      <c r="A27" s="11">
        <v>26</v>
      </c>
      <c r="B27" s="12" t="s">
        <v>215</v>
      </c>
      <c r="C27" s="13" t="s">
        <v>217</v>
      </c>
      <c r="D27" s="16">
        <f>_xlfn.MINIFS(Sales_Data!H:H,Sales_Data!C:C,"North")</f>
        <v>298.69</v>
      </c>
    </row>
    <row r="28" spans="1:4" ht="33.75" customHeight="1" x14ac:dyDescent="0.35">
      <c r="A28" s="11">
        <v>27</v>
      </c>
      <c r="B28" s="12" t="s">
        <v>218</v>
      </c>
      <c r="C28" s="13" t="s">
        <v>219</v>
      </c>
      <c r="D28" s="16">
        <f>_xlfn.MAXIFS(Sales_Data!K:K,Sales_Data!D:D,"Electronics")</f>
        <v>201951.71</v>
      </c>
    </row>
    <row r="29" spans="1:4" ht="33.75" customHeight="1" x14ac:dyDescent="0.35">
      <c r="A29" s="11">
        <v>28</v>
      </c>
      <c r="B29" s="12" t="s">
        <v>218</v>
      </c>
      <c r="C29" s="13" t="s">
        <v>220</v>
      </c>
      <c r="D29" s="16">
        <f>_xlfn.MAXIFS(Sales_Data!J:J,Sales_Data!L:L,"Wholesale",Sales_Data!C:C,"South")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Instructions</vt:lpstr>
      <vt:lpstr>Sales_Data</vt:lpstr>
      <vt:lpstr>Assignment_Questions</vt:lpstr>
      <vt:lpstr>Conditional_Formatting_Tasks</vt:lpstr>
      <vt:lpstr>Answer_Key (Trainer Only)</vt:lpstr>
      <vt:lpstr>Category</vt:lpstr>
      <vt:lpstr>CustomerType</vt:lpstr>
      <vt:lpstr>Discount</vt:lpstr>
      <vt:lpstr>Profit</vt:lpstr>
      <vt:lpstr>Rating</vt:lpstr>
      <vt:lpstr>Region</vt:lpstr>
      <vt:lpstr>Sales</vt:lpstr>
      <vt:lpstr>SalesRep</vt:lpstr>
      <vt:lpstr>UnitPrice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Ayyappa Yerubandi</cp:lastModifiedBy>
  <cp:revision>0</cp:revision>
  <dcterms:created xsi:type="dcterms:W3CDTF">2026-07-03T13:28:23Z</dcterms:created>
  <dcterms:modified xsi:type="dcterms:W3CDTF">2026-07-05T18:51:44Z</dcterms:modified>
  <dc:language>en-US</dc:language>
</cp:coreProperties>
</file>